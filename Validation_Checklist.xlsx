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fere\Downloads\"/>
    </mc:Choice>
  </mc:AlternateContent>
  <xr:revisionPtr revIDLastSave="0" documentId="8_{7714793F-A30F-437B-B775-30394C1E25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tion Checklist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0" i="2"/>
  <c r="E19" i="2"/>
  <c r="E18" i="2"/>
  <c r="E17" i="2"/>
  <c r="E23" i="2" s="1"/>
</calcChain>
</file>

<file path=xl/sharedStrings.xml><?xml version="1.0" encoding="utf-8"?>
<sst xmlns="http://schemas.openxmlformats.org/spreadsheetml/2006/main" count="286" uniqueCount="101">
  <si>
    <t>ID</t>
  </si>
  <si>
    <t>Domain</t>
  </si>
  <si>
    <t>Dataset Name</t>
  </si>
  <si>
    <t>Publisher</t>
  </si>
  <si>
    <t>Portal URL</t>
  </si>
  <si>
    <t>Description
Accurate?</t>
  </si>
  <si>
    <t>Temporal
Accurate?</t>
  </si>
  <si>
    <t>Format
Accurate?</t>
  </si>
  <si>
    <t>License
Stated?</t>
  </si>
  <si>
    <t>URL
Works?</t>
  </si>
  <si>
    <t>Notes</t>
  </si>
  <si>
    <t>Floods</t>
  </si>
  <si>
    <t>River Flood Hazard Maps for Europe</t>
  </si>
  <si>
    <t>JRC</t>
  </si>
  <si>
    <t>https://data.jrc.ec.europa.eu/dataset/jrc-floods-floodmapeu</t>
  </si>
  <si>
    <t>EFAS Historical Simulations</t>
  </si>
  <si>
    <t>Copernicus/JRC</t>
  </si>
  <si>
    <t>https://cds.climate.copernicus.eu/cdsapp#!/dataset/efas-historical</t>
  </si>
  <si>
    <t>Copernicus EMS Rapid Mapping</t>
  </si>
  <si>
    <t>Copernicus EMS</t>
  </si>
  <si>
    <t>https://emergency.copernicus.eu/mapping/list-of-activations-rapid</t>
  </si>
  <si>
    <t>European Past Floods Database</t>
  </si>
  <si>
    <t>EEA</t>
  </si>
  <si>
    <t>https://www.eea.europa.eu/data-and-maps/data/european-past-floods</t>
  </si>
  <si>
    <t>Floods Directive Reported Data</t>
  </si>
  <si>
    <t>https://www.eea.europa.eu/data-and-maps/data/floods-directive-3</t>
  </si>
  <si>
    <t>Water Quality</t>
  </si>
  <si>
    <t>Waterbase - Water Quality ICM</t>
  </si>
  <si>
    <t>https://www.eea.europa.eu/data-and-maps/data/waterbase-water-quality-icm-2</t>
  </si>
  <si>
    <t>Waterbase - Biology</t>
  </si>
  <si>
    <t>https://www.eea.europa.eu/data-and-maps/data/waterbase-biology-2</t>
  </si>
  <si>
    <t>Bathing Water Quality</t>
  </si>
  <si>
    <t>https://www.eea.europa.eu/data-and-maps/data/bathing-water-directive-status-of-bathing-water-12</t>
  </si>
  <si>
    <t>Waterbase - Transitional/Coastal/Marine</t>
  </si>
  <si>
    <t>https://www.eea.europa.eu/data-and-maps/data/waterbase-transitional-coastal-and-marine-waters-14</t>
  </si>
  <si>
    <t>Nutrients in Freshwater</t>
  </si>
  <si>
    <t>https://www.eea.europa.eu/data-and-maps/indicators/nutrients-in-freshwater</t>
  </si>
  <si>
    <t>WFD Metrics</t>
  </si>
  <si>
    <t>WISE WFD Database</t>
  </si>
  <si>
    <t>https://www.eea.europa.eu/data-and-maps/data/wise-wfd-4</t>
  </si>
  <si>
    <t>WISE Spatial Data (Water Bodies)</t>
  </si>
  <si>
    <t>https://www.eea.europa.eu/data-and-maps/data/wise-large-rivers-and-large-lakes</t>
  </si>
  <si>
    <t>UWWTD Reported Data</t>
  </si>
  <si>
    <t>https://www.eea.europa.eu/data-and-maps/data/waterbase-uwwtd-urban-waste-water-treatment-directive-8</t>
  </si>
  <si>
    <t>Ecological Status Dashboard</t>
  </si>
  <si>
    <t>https://www.eea.europa.eu/data-and-maps/dashboards/wise-wfd</t>
  </si>
  <si>
    <t>Chemical Status of Water Bodies</t>
  </si>
  <si>
    <t>https://www.eea.europa.eu/data-and-maps/figures/chemical-status-of-surface-water</t>
  </si>
  <si>
    <t>Groundwater</t>
  </si>
  <si>
    <t>Groundwater Bodies (WISE)</t>
  </si>
  <si>
    <t>Nitrates in Groundwater</t>
  </si>
  <si>
    <t>https://www.eea.europa.eu/data-and-maps/indicators/nitrate-in-groundwater-3</t>
  </si>
  <si>
    <t>Groundwater Quantitative Status</t>
  </si>
  <si>
    <t>https://www.eea.europa.eu/data-and-maps/figures/percentage-of-groundwater-body-area</t>
  </si>
  <si>
    <t>Hydrogeological Map of Europe</t>
  </si>
  <si>
    <t>JRC/ESDAC</t>
  </si>
  <si>
    <t>https://esdac.jrc.ec.europa.eu/content/international-hydrogeological-map-europe-150000-ihme1500</t>
  </si>
  <si>
    <t>Groundwater Dependent Ecosystems</t>
  </si>
  <si>
    <t>Utilities</t>
  </si>
  <si>
    <t>Eurostat Water Statistics</t>
  </si>
  <si>
    <t>Eurostat</t>
  </si>
  <si>
    <t>https://ec.europa.eu/eurostat/web/environment/water</t>
  </si>
  <si>
    <t>SDG 6 Indicators</t>
  </si>
  <si>
    <t>https://ec.europa.eu/eurostat/web/sdi/indicators</t>
  </si>
  <si>
    <t>Water Exploitation Index</t>
  </si>
  <si>
    <t>https://www.eea.europa.eu/data-and-maps/indicators/use-of-freshwater-resources-3</t>
  </si>
  <si>
    <t>Population Connected to WWTP</t>
  </si>
  <si>
    <t>https://ec.europa.eu/eurostat/databrowser/view/env_ww_con/default/table</t>
  </si>
  <si>
    <t>Water Abstraction by Source</t>
  </si>
  <si>
    <t>https://ec.europa.eu/eurostat/databrowser/view/env_wat_abs/default/table</t>
  </si>
  <si>
    <t>EU Water Dataset Observatory - Validation Summary</t>
  </si>
  <si>
    <t>Instructions:</t>
  </si>
  <si>
    <t>1. Open each URL in the Portal URL column</t>
  </si>
  <si>
    <t>2. Check if description, temporal coverage, format, and license match expectations</t>
  </si>
  <si>
    <t>3. Mark Yes/No/Partial in each column (use dropdown)</t>
  </si>
  <si>
    <t>4. Add notes for any discrepancies</t>
  </si>
  <si>
    <t>Time required: ~2 hours (5 min per dataset)</t>
  </si>
  <si>
    <t>After completing, calculate:</t>
  </si>
  <si>
    <t xml:space="preserve">  Agreement Rate = (Yes count + 0.5 × Partial count) / Total</t>
  </si>
  <si>
    <t>Results Summary (fill in after validation):</t>
  </si>
  <si>
    <t>Category</t>
  </si>
  <si>
    <t>Yes</t>
  </si>
  <si>
    <t>No</t>
  </si>
  <si>
    <t>Partial</t>
  </si>
  <si>
    <t>Agreement %</t>
  </si>
  <si>
    <t>Description</t>
  </si>
  <si>
    <t>Temporal</t>
  </si>
  <si>
    <t>Format</t>
  </si>
  <si>
    <t>License</t>
  </si>
  <si>
    <t>URL Works</t>
  </si>
  <si>
    <t>OVERALL AGREEMENT:</t>
  </si>
  <si>
    <t>Statement for paper:</t>
  </si>
  <si>
    <t>"We manually verified a stratified random sample of N=25 datasets against</t>
  </si>
  <si>
    <t>their source portals (EEA, JRC, Eurostat, Copernicus), finding [X]% agreement</t>
  </si>
  <si>
    <t>between catalogued metadata and actual portal content."</t>
  </si>
  <si>
    <t>page not found</t>
  </si>
  <si>
    <t>free resource</t>
  </si>
  <si>
    <t>page has been retired</t>
  </si>
  <si>
    <t>looks blank, but there are links to download (oudated) data</t>
  </si>
  <si>
    <t>same as row 17</t>
  </si>
  <si>
    <t>most data are complete, but there are missing values ,especially for smaller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</si>
</sst>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2D5F0"/>
        <bgColor rgb="FFE2D5F0"/>
      </patternFill>
    </fill>
    <fill>
      <patternFill patternType="solid">
        <fgColor rgb="FFDEEBF7"/>
        <bgColor rgb="FFDEEBF7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0" borderId="0" xfId="0" applyFont="1"/>
    <xf numFmtId="0" fontId="4" fillId="8" borderId="0" xfId="0" applyFont="1" applyFill="1"/>
    <xf numFmtId="0" fontId="5" fillId="3" borderId="1" xfId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5" fillId="5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ea.europa.eu/data-and-maps/data/bathing-water-directive-status-of-bathing-water-12" TargetMode="External"/><Relationship Id="rId13" Type="http://schemas.openxmlformats.org/officeDocument/2006/relationships/hyperlink" Target="https://www.eea.europa.eu/data-and-maps/data/waterbase-uwwtd-urban-waste-water-treatment-directive-8" TargetMode="External"/><Relationship Id="rId18" Type="http://schemas.openxmlformats.org/officeDocument/2006/relationships/hyperlink" Target="https://www.eea.europa.eu/data-and-maps/figures/percentage-of-groundwater-body-area" TargetMode="External"/><Relationship Id="rId3" Type="http://schemas.openxmlformats.org/officeDocument/2006/relationships/hyperlink" Target="https://emergency.copernicus.eu/mapping/list-of-activations-rapid" TargetMode="External"/><Relationship Id="rId21" Type="http://schemas.openxmlformats.org/officeDocument/2006/relationships/hyperlink" Target="https://ec.europa.eu/eurostat/web/environment/water" TargetMode="External"/><Relationship Id="rId7" Type="http://schemas.openxmlformats.org/officeDocument/2006/relationships/hyperlink" Target="https://www.eea.europa.eu/data-and-maps/data/waterbase-biology-2" TargetMode="External"/><Relationship Id="rId12" Type="http://schemas.openxmlformats.org/officeDocument/2006/relationships/hyperlink" Target="https://www.eea.europa.eu/data-and-maps/data/wise-large-rivers-and-large-lakes" TargetMode="External"/><Relationship Id="rId17" Type="http://schemas.openxmlformats.org/officeDocument/2006/relationships/hyperlink" Target="https://www.eea.europa.eu/data-and-maps/indicators/nitrate-in-groundwater-3" TargetMode="External"/><Relationship Id="rId25" Type="http://schemas.openxmlformats.org/officeDocument/2006/relationships/hyperlink" Target="https://ec.europa.eu/eurostat/databrowser/view/env_wat_abs/default/table" TargetMode="External"/><Relationship Id="rId2" Type="http://schemas.openxmlformats.org/officeDocument/2006/relationships/hyperlink" Target="https://cds.climate.copernicus.eu/cdsapp" TargetMode="External"/><Relationship Id="rId16" Type="http://schemas.openxmlformats.org/officeDocument/2006/relationships/hyperlink" Target="https://www.eea.europa.eu/data-and-maps/data/wise-wfd-4" TargetMode="External"/><Relationship Id="rId20" Type="http://schemas.openxmlformats.org/officeDocument/2006/relationships/hyperlink" Target="https://www.eea.europa.eu/data-and-maps/data/wise-wfd-4" TargetMode="External"/><Relationship Id="rId1" Type="http://schemas.openxmlformats.org/officeDocument/2006/relationships/hyperlink" Target="https://data.jrc.ec.europa.eu/dataset/jrc-floods-floodmapeu" TargetMode="External"/><Relationship Id="rId6" Type="http://schemas.openxmlformats.org/officeDocument/2006/relationships/hyperlink" Target="https://www.eea.europa.eu/data-and-maps/data/waterbase-water-quality-icm-2" TargetMode="External"/><Relationship Id="rId11" Type="http://schemas.openxmlformats.org/officeDocument/2006/relationships/hyperlink" Target="https://www.eea.europa.eu/data-and-maps/data/wise-wfd-4" TargetMode="External"/><Relationship Id="rId24" Type="http://schemas.openxmlformats.org/officeDocument/2006/relationships/hyperlink" Target="https://ec.europa.eu/eurostat/databrowser/view/env_ww_con/default/table" TargetMode="External"/><Relationship Id="rId5" Type="http://schemas.openxmlformats.org/officeDocument/2006/relationships/hyperlink" Target="https://www.eea.europa.eu/data-and-maps/data/floods-directive-3" TargetMode="External"/><Relationship Id="rId15" Type="http://schemas.openxmlformats.org/officeDocument/2006/relationships/hyperlink" Target="https://www.eea.europa.eu/data-and-maps/figures/chemical-status-of-surface-water" TargetMode="External"/><Relationship Id="rId23" Type="http://schemas.openxmlformats.org/officeDocument/2006/relationships/hyperlink" Target="https://www.eea.europa.eu/data-and-maps/indicators/use-of-freshwater-resources-3" TargetMode="External"/><Relationship Id="rId10" Type="http://schemas.openxmlformats.org/officeDocument/2006/relationships/hyperlink" Target="https://www.eea.europa.eu/data-and-maps/indicators/nutrients-in-freshwater" TargetMode="External"/><Relationship Id="rId19" Type="http://schemas.openxmlformats.org/officeDocument/2006/relationships/hyperlink" Target="https://esdac.jrc.ec.europa.eu/content/international-hydrogeological-map-europe-150000-ihme1500" TargetMode="External"/><Relationship Id="rId4" Type="http://schemas.openxmlformats.org/officeDocument/2006/relationships/hyperlink" Target="https://www.eea.europa.eu/data-and-maps/data/european-past-floods" TargetMode="External"/><Relationship Id="rId9" Type="http://schemas.openxmlformats.org/officeDocument/2006/relationships/hyperlink" Target="https://www.eea.europa.eu/data-and-maps/data/waterbase-transitional-coastal-and-marine-waters-14" TargetMode="External"/><Relationship Id="rId14" Type="http://schemas.openxmlformats.org/officeDocument/2006/relationships/hyperlink" Target="https://www.eea.europa.eu/data-and-maps/dashboards/wise-wfd" TargetMode="External"/><Relationship Id="rId22" Type="http://schemas.openxmlformats.org/officeDocument/2006/relationships/hyperlink" Target="https://ec.europa.eu/eurostat/web/sdi/indica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pane ySplit="1" topLeftCell="A11" activePane="bottomLeft" state="frozen"/>
      <selection pane="bottomLeft" activeCell="L17" sqref="L17"/>
    </sheetView>
  </sheetViews>
  <sheetFormatPr defaultRowHeight="15" x14ac:dyDescent="0.25"/>
  <cols>
    <col min="1" max="1" width="5" customWidth="1"/>
    <col min="2" max="2" width="15" customWidth="1"/>
    <col min="3" max="3" width="35" customWidth="1"/>
    <col min="4" max="4" width="15" customWidth="1"/>
    <col min="5" max="5" width="50" customWidth="1"/>
    <col min="6" max="10" width="12" customWidth="1"/>
    <col min="11" max="11" width="30" customWidth="1"/>
  </cols>
  <sheetData>
    <row r="1" spans="1:11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>
        <v>1</v>
      </c>
      <c r="B2" s="2" t="s">
        <v>11</v>
      </c>
      <c r="C2" s="2" t="s">
        <v>12</v>
      </c>
      <c r="D2" s="2" t="s">
        <v>13</v>
      </c>
      <c r="E2" s="14" t="s">
        <v>14</v>
      </c>
      <c r="F2" s="15" t="s">
        <v>82</v>
      </c>
      <c r="G2" s="15" t="s">
        <v>82</v>
      </c>
      <c r="H2" s="15" t="s">
        <v>82</v>
      </c>
      <c r="I2" s="15" t="s">
        <v>82</v>
      </c>
      <c r="J2" t="s">
        <v>82</v>
      </c>
      <c r="K2" s="15" t="s">
        <v>95</v>
      </c>
    </row>
    <row r="3" spans="1:11" ht="30" x14ac:dyDescent="0.25">
      <c r="A3" s="2">
        <v>2</v>
      </c>
      <c r="B3" s="2" t="s">
        <v>11</v>
      </c>
      <c r="C3" s="2" t="s">
        <v>15</v>
      </c>
      <c r="D3" s="2" t="s">
        <v>16</v>
      </c>
      <c r="E3" s="3" t="s">
        <v>17</v>
      </c>
      <c r="F3" s="15" t="s">
        <v>82</v>
      </c>
      <c r="G3" s="15" t="s">
        <v>82</v>
      </c>
      <c r="H3" s="15" t="s">
        <v>82</v>
      </c>
      <c r="I3" s="15" t="s">
        <v>82</v>
      </c>
      <c r="J3" t="s">
        <v>82</v>
      </c>
      <c r="K3" s="15" t="s">
        <v>95</v>
      </c>
    </row>
    <row r="4" spans="1:11" ht="30" x14ac:dyDescent="0.25">
      <c r="A4" s="2">
        <v>3</v>
      </c>
      <c r="B4" s="2" t="s">
        <v>11</v>
      </c>
      <c r="C4" s="2" t="s">
        <v>18</v>
      </c>
      <c r="D4" s="2" t="s">
        <v>19</v>
      </c>
      <c r="E4" s="14" t="s">
        <v>20</v>
      </c>
      <c r="F4" s="16" t="s">
        <v>81</v>
      </c>
      <c r="G4" s="16" t="s">
        <v>81</v>
      </c>
      <c r="H4" s="16" t="s">
        <v>81</v>
      </c>
      <c r="I4" s="16" t="s">
        <v>82</v>
      </c>
      <c r="J4" s="16" t="s">
        <v>81</v>
      </c>
      <c r="K4" s="16" t="s">
        <v>96</v>
      </c>
    </row>
    <row r="5" spans="1:11" ht="30" x14ac:dyDescent="0.25">
      <c r="A5" s="2">
        <v>4</v>
      </c>
      <c r="B5" s="2" t="s">
        <v>11</v>
      </c>
      <c r="C5" s="2" t="s">
        <v>21</v>
      </c>
      <c r="D5" s="2" t="s">
        <v>22</v>
      </c>
      <c r="E5" s="14" t="s">
        <v>23</v>
      </c>
      <c r="F5" s="15" t="s">
        <v>82</v>
      </c>
      <c r="G5" s="15" t="s">
        <v>82</v>
      </c>
      <c r="H5" s="15" t="s">
        <v>82</v>
      </c>
      <c r="I5" s="15" t="s">
        <v>82</v>
      </c>
      <c r="J5" t="s">
        <v>82</v>
      </c>
      <c r="K5" t="s">
        <v>97</v>
      </c>
    </row>
    <row r="6" spans="1:11" ht="30" x14ac:dyDescent="0.25">
      <c r="A6" s="2">
        <v>5</v>
      </c>
      <c r="B6" s="2" t="s">
        <v>11</v>
      </c>
      <c r="C6" s="2" t="s">
        <v>24</v>
      </c>
      <c r="D6" s="2" t="s">
        <v>22</v>
      </c>
      <c r="E6" s="14" t="s">
        <v>25</v>
      </c>
      <c r="F6" s="15" t="s">
        <v>82</v>
      </c>
      <c r="G6" s="15" t="s">
        <v>82</v>
      </c>
      <c r="H6" s="15" t="s">
        <v>82</v>
      </c>
      <c r="I6" s="15" t="s">
        <v>82</v>
      </c>
      <c r="J6" t="s">
        <v>82</v>
      </c>
      <c r="K6" t="s">
        <v>97</v>
      </c>
    </row>
    <row r="7" spans="1:11" ht="30" x14ac:dyDescent="0.25">
      <c r="A7" s="4">
        <v>6</v>
      </c>
      <c r="B7" s="4" t="s">
        <v>26</v>
      </c>
      <c r="C7" s="4" t="s">
        <v>27</v>
      </c>
      <c r="D7" s="4" t="s">
        <v>22</v>
      </c>
      <c r="E7" s="5" t="s">
        <v>28</v>
      </c>
      <c r="F7" s="16" t="s">
        <v>81</v>
      </c>
      <c r="G7" s="16" t="s">
        <v>81</v>
      </c>
      <c r="H7" s="16" t="s">
        <v>81</v>
      </c>
      <c r="I7" s="16" t="s">
        <v>82</v>
      </c>
      <c r="J7" s="16" t="s">
        <v>81</v>
      </c>
      <c r="K7" s="16" t="s">
        <v>96</v>
      </c>
    </row>
    <row r="8" spans="1:11" ht="30" x14ac:dyDescent="0.25">
      <c r="A8" s="4">
        <v>7</v>
      </c>
      <c r="B8" s="4" t="s">
        <v>26</v>
      </c>
      <c r="C8" s="4" t="s">
        <v>29</v>
      </c>
      <c r="D8" s="4" t="s">
        <v>22</v>
      </c>
      <c r="E8" s="5" t="s">
        <v>30</v>
      </c>
      <c r="F8" s="15" t="s">
        <v>82</v>
      </c>
      <c r="G8" s="15" t="s">
        <v>82</v>
      </c>
      <c r="H8" s="15" t="s">
        <v>82</v>
      </c>
      <c r="I8" s="15" t="s">
        <v>82</v>
      </c>
      <c r="J8" t="s">
        <v>82</v>
      </c>
      <c r="K8" s="15" t="s">
        <v>95</v>
      </c>
    </row>
    <row r="9" spans="1:11" ht="45" x14ac:dyDescent="0.25">
      <c r="A9" s="4">
        <v>8</v>
      </c>
      <c r="B9" s="4" t="s">
        <v>26</v>
      </c>
      <c r="C9" s="4" t="s">
        <v>31</v>
      </c>
      <c r="D9" s="4" t="s">
        <v>22</v>
      </c>
      <c r="E9" s="5" t="s">
        <v>32</v>
      </c>
      <c r="F9" s="16" t="s">
        <v>81</v>
      </c>
      <c r="G9" s="16" t="s">
        <v>81</v>
      </c>
      <c r="H9" s="16" t="s">
        <v>81</v>
      </c>
      <c r="I9" s="16" t="s">
        <v>82</v>
      </c>
      <c r="J9" s="16" t="s">
        <v>81</v>
      </c>
      <c r="K9" s="16" t="s">
        <v>96</v>
      </c>
    </row>
    <row r="10" spans="1:11" ht="45" x14ac:dyDescent="0.25">
      <c r="A10" s="4">
        <v>9</v>
      </c>
      <c r="B10" s="4" t="s">
        <v>26</v>
      </c>
      <c r="C10" s="4" t="s">
        <v>33</v>
      </c>
      <c r="D10" s="4" t="s">
        <v>22</v>
      </c>
      <c r="E10" s="5" t="s">
        <v>34</v>
      </c>
      <c r="F10" s="15" t="s">
        <v>82</v>
      </c>
      <c r="G10" s="15" t="s">
        <v>82</v>
      </c>
      <c r="H10" s="15" t="s">
        <v>82</v>
      </c>
      <c r="I10" s="15" t="s">
        <v>82</v>
      </c>
      <c r="J10" t="s">
        <v>82</v>
      </c>
      <c r="K10" s="15" t="s">
        <v>95</v>
      </c>
    </row>
    <row r="11" spans="1:11" ht="30" x14ac:dyDescent="0.25">
      <c r="A11" s="4">
        <v>10</v>
      </c>
      <c r="B11" s="4" t="s">
        <v>26</v>
      </c>
      <c r="C11" s="4" t="s">
        <v>35</v>
      </c>
      <c r="D11" s="4" t="s">
        <v>22</v>
      </c>
      <c r="E11" s="5" t="s">
        <v>36</v>
      </c>
      <c r="F11" s="16" t="s">
        <v>81</v>
      </c>
      <c r="G11" s="16" t="s">
        <v>81</v>
      </c>
      <c r="H11" s="16" t="s">
        <v>81</v>
      </c>
      <c r="I11" s="16" t="s">
        <v>82</v>
      </c>
      <c r="J11" s="16" t="s">
        <v>81</v>
      </c>
      <c r="K11" s="16" t="s">
        <v>96</v>
      </c>
    </row>
    <row r="12" spans="1:11" ht="30" x14ac:dyDescent="0.25">
      <c r="A12" s="6">
        <v>11</v>
      </c>
      <c r="B12" s="6" t="s">
        <v>37</v>
      </c>
      <c r="C12" s="6" t="s">
        <v>38</v>
      </c>
      <c r="D12" s="6" t="s">
        <v>22</v>
      </c>
      <c r="E12" s="7" t="s">
        <v>39</v>
      </c>
      <c r="F12" s="16" t="s">
        <v>81</v>
      </c>
      <c r="G12" s="16" t="s">
        <v>81</v>
      </c>
      <c r="H12" s="16" t="s">
        <v>83</v>
      </c>
      <c r="I12" s="16" t="s">
        <v>82</v>
      </c>
      <c r="J12" s="16" t="s">
        <v>81</v>
      </c>
      <c r="K12" s="16" t="s">
        <v>96</v>
      </c>
    </row>
    <row r="13" spans="1:11" ht="30" x14ac:dyDescent="0.25">
      <c r="A13" s="6">
        <v>12</v>
      </c>
      <c r="B13" s="6" t="s">
        <v>37</v>
      </c>
      <c r="C13" s="6" t="s">
        <v>40</v>
      </c>
      <c r="D13" s="6" t="s">
        <v>22</v>
      </c>
      <c r="E13" s="17" t="s">
        <v>41</v>
      </c>
      <c r="F13" s="15" t="s">
        <v>82</v>
      </c>
      <c r="G13" s="15" t="s">
        <v>82</v>
      </c>
      <c r="H13" s="15" t="s">
        <v>82</v>
      </c>
      <c r="I13" s="15" t="s">
        <v>82</v>
      </c>
      <c r="J13" t="s">
        <v>82</v>
      </c>
      <c r="K13" t="s">
        <v>97</v>
      </c>
    </row>
    <row r="14" spans="1:11" ht="45" x14ac:dyDescent="0.25">
      <c r="A14" s="6">
        <v>13</v>
      </c>
      <c r="B14" s="6" t="s">
        <v>37</v>
      </c>
      <c r="C14" s="6" t="s">
        <v>42</v>
      </c>
      <c r="D14" s="6" t="s">
        <v>22</v>
      </c>
      <c r="E14" s="7" t="s">
        <v>43</v>
      </c>
      <c r="F14" s="16" t="s">
        <v>81</v>
      </c>
      <c r="G14" s="16" t="s">
        <v>81</v>
      </c>
      <c r="H14" s="16" t="s">
        <v>83</v>
      </c>
      <c r="I14" s="16" t="s">
        <v>82</v>
      </c>
      <c r="J14" s="16" t="s">
        <v>81</v>
      </c>
      <c r="K14" s="16" t="s">
        <v>96</v>
      </c>
    </row>
    <row r="15" spans="1:11" ht="30" x14ac:dyDescent="0.25">
      <c r="A15" s="6">
        <v>14</v>
      </c>
      <c r="B15" s="6" t="s">
        <v>37</v>
      </c>
      <c r="C15" s="6" t="s">
        <v>44</v>
      </c>
      <c r="D15" s="6" t="s">
        <v>22</v>
      </c>
      <c r="E15" s="7" t="s">
        <v>45</v>
      </c>
      <c r="F15" s="16" t="s">
        <v>81</v>
      </c>
      <c r="G15" s="16" t="s">
        <v>81</v>
      </c>
      <c r="H15" s="16" t="s">
        <v>83</v>
      </c>
      <c r="I15" s="16" t="s">
        <v>82</v>
      </c>
      <c r="J15" s="16" t="s">
        <v>81</v>
      </c>
      <c r="K15" s="16" t="s">
        <v>96</v>
      </c>
    </row>
    <row r="16" spans="1:11" ht="30" x14ac:dyDescent="0.25">
      <c r="A16" s="6">
        <v>15</v>
      </c>
      <c r="B16" s="6" t="s">
        <v>37</v>
      </c>
      <c r="C16" s="6" t="s">
        <v>46</v>
      </c>
      <c r="D16" s="6" t="s">
        <v>22</v>
      </c>
      <c r="E16" s="7" t="s">
        <v>47</v>
      </c>
      <c r="F16" s="15" t="s">
        <v>82</v>
      </c>
      <c r="G16" s="15" t="s">
        <v>82</v>
      </c>
      <c r="H16" s="15" t="s">
        <v>82</v>
      </c>
      <c r="I16" s="15" t="s">
        <v>82</v>
      </c>
      <c r="J16" t="s">
        <v>82</v>
      </c>
      <c r="K16" s="15" t="s">
        <v>95</v>
      </c>
    </row>
    <row r="17" spans="1:11" ht="30" x14ac:dyDescent="0.25">
      <c r="A17" s="8">
        <v>16</v>
      </c>
      <c r="B17" s="8" t="s">
        <v>48</v>
      </c>
      <c r="C17" s="8" t="s">
        <v>49</v>
      </c>
      <c r="D17" s="8" t="s">
        <v>22</v>
      </c>
      <c r="E17" s="9" t="s">
        <v>39</v>
      </c>
      <c r="F17" s="16" t="s">
        <v>81</v>
      </c>
      <c r="G17" s="16" t="s">
        <v>81</v>
      </c>
      <c r="H17" s="16" t="s">
        <v>83</v>
      </c>
      <c r="I17" s="16" t="s">
        <v>82</v>
      </c>
      <c r="J17" s="16" t="s">
        <v>81</v>
      </c>
      <c r="K17" s="16" t="s">
        <v>96</v>
      </c>
    </row>
    <row r="18" spans="1:11" ht="30" x14ac:dyDescent="0.25">
      <c r="A18" s="8">
        <v>17</v>
      </c>
      <c r="B18" s="8" t="s">
        <v>48</v>
      </c>
      <c r="C18" s="8" t="s">
        <v>50</v>
      </c>
      <c r="D18" s="8" t="s">
        <v>22</v>
      </c>
      <c r="E18" s="9" t="s">
        <v>51</v>
      </c>
      <c r="F18" s="15" t="s">
        <v>82</v>
      </c>
      <c r="G18" s="15" t="s">
        <v>82</v>
      </c>
      <c r="H18" s="15" t="s">
        <v>82</v>
      </c>
      <c r="I18" s="15" t="s">
        <v>82</v>
      </c>
      <c r="J18" t="s">
        <v>82</v>
      </c>
      <c r="K18" s="15" t="s">
        <v>95</v>
      </c>
    </row>
    <row r="19" spans="1:11" ht="30" x14ac:dyDescent="0.25">
      <c r="A19" s="8">
        <v>18</v>
      </c>
      <c r="B19" s="8" t="s">
        <v>48</v>
      </c>
      <c r="C19" s="8" t="s">
        <v>52</v>
      </c>
      <c r="D19" s="8" t="s">
        <v>22</v>
      </c>
      <c r="E19" s="9" t="s">
        <v>53</v>
      </c>
      <c r="F19" s="15" t="s">
        <v>82</v>
      </c>
      <c r="G19" s="15" t="s">
        <v>82</v>
      </c>
      <c r="H19" s="15" t="s">
        <v>83</v>
      </c>
      <c r="I19" s="15" t="s">
        <v>82</v>
      </c>
      <c r="J19" s="15" t="s">
        <v>81</v>
      </c>
      <c r="K19" s="15" t="s">
        <v>98</v>
      </c>
    </row>
    <row r="20" spans="1:11" ht="30" x14ac:dyDescent="0.25">
      <c r="A20" s="8">
        <v>19</v>
      </c>
      <c r="B20" s="8" t="s">
        <v>48</v>
      </c>
      <c r="C20" s="8" t="s">
        <v>54</v>
      </c>
      <c r="D20" s="8" t="s">
        <v>55</v>
      </c>
      <c r="E20" s="9" t="s">
        <v>56</v>
      </c>
      <c r="F20" s="15" t="s">
        <v>82</v>
      </c>
      <c r="G20" s="15" t="s">
        <v>82</v>
      </c>
      <c r="H20" s="15" t="s">
        <v>82</v>
      </c>
      <c r="I20" s="15" t="s">
        <v>82</v>
      </c>
      <c r="J20" t="s">
        <v>82</v>
      </c>
      <c r="K20" s="15" t="s">
        <v>95</v>
      </c>
    </row>
    <row r="21" spans="1:11" ht="30" x14ac:dyDescent="0.25">
      <c r="A21" s="8">
        <v>20</v>
      </c>
      <c r="B21" s="8" t="s">
        <v>48</v>
      </c>
      <c r="C21" s="8" t="s">
        <v>57</v>
      </c>
      <c r="D21" s="8" t="s">
        <v>22</v>
      </c>
      <c r="E21" s="9" t="s">
        <v>39</v>
      </c>
      <c r="F21" s="16" t="s">
        <v>81</v>
      </c>
      <c r="G21" s="16" t="s">
        <v>81</v>
      </c>
      <c r="H21" s="16" t="s">
        <v>83</v>
      </c>
      <c r="I21" s="16" t="s">
        <v>82</v>
      </c>
      <c r="J21" s="16" t="s">
        <v>81</v>
      </c>
      <c r="K21" s="16" t="s">
        <v>99</v>
      </c>
    </row>
    <row r="22" spans="1:11" ht="30" x14ac:dyDescent="0.25">
      <c r="A22" s="10">
        <v>21</v>
      </c>
      <c r="B22" s="10" t="s">
        <v>58</v>
      </c>
      <c r="C22" s="10" t="s">
        <v>59</v>
      </c>
      <c r="D22" s="10" t="s">
        <v>60</v>
      </c>
      <c r="E22" s="11" t="s">
        <v>61</v>
      </c>
      <c r="F22" s="15" t="s">
        <v>82</v>
      </c>
      <c r="G22" s="15" t="s">
        <v>82</v>
      </c>
      <c r="H22" s="15" t="s">
        <v>82</v>
      </c>
      <c r="I22" s="15" t="s">
        <v>82</v>
      </c>
      <c r="J22" t="s">
        <v>82</v>
      </c>
      <c r="K22" s="15" t="s">
        <v>95</v>
      </c>
    </row>
    <row r="23" spans="1:11" x14ac:dyDescent="0.25">
      <c r="A23" s="10">
        <v>22</v>
      </c>
      <c r="B23" s="10" t="s">
        <v>58</v>
      </c>
      <c r="C23" s="10" t="s">
        <v>62</v>
      </c>
      <c r="D23" s="10" t="s">
        <v>60</v>
      </c>
      <c r="E23" s="11" t="s">
        <v>63</v>
      </c>
      <c r="F23" s="15" t="s">
        <v>82</v>
      </c>
      <c r="G23" s="15" t="s">
        <v>82</v>
      </c>
      <c r="H23" s="15" t="s">
        <v>82</v>
      </c>
      <c r="I23" s="15" t="s">
        <v>82</v>
      </c>
      <c r="J23" t="s">
        <v>82</v>
      </c>
      <c r="K23" s="15" t="s">
        <v>95</v>
      </c>
    </row>
    <row r="24" spans="1:11" ht="30" x14ac:dyDescent="0.25">
      <c r="A24" s="10">
        <v>23</v>
      </c>
      <c r="B24" s="10" t="s">
        <v>58</v>
      </c>
      <c r="C24" s="10" t="s">
        <v>64</v>
      </c>
      <c r="D24" s="10" t="s">
        <v>22</v>
      </c>
      <c r="E24" s="11" t="s">
        <v>65</v>
      </c>
      <c r="F24" s="16" t="s">
        <v>81</v>
      </c>
      <c r="G24" s="16" t="s">
        <v>81</v>
      </c>
      <c r="H24" s="16" t="s">
        <v>81</v>
      </c>
      <c r="I24" s="16" t="s">
        <v>82</v>
      </c>
      <c r="J24" s="16" t="s">
        <v>81</v>
      </c>
      <c r="K24" s="16" t="s">
        <v>96</v>
      </c>
    </row>
    <row r="25" spans="1:11" ht="45" x14ac:dyDescent="0.25">
      <c r="A25" s="10">
        <v>24</v>
      </c>
      <c r="B25" s="10" t="s">
        <v>58</v>
      </c>
      <c r="C25" s="10" t="s">
        <v>66</v>
      </c>
      <c r="D25" s="10" t="s">
        <v>60</v>
      </c>
      <c r="E25" s="11" t="s">
        <v>67</v>
      </c>
      <c r="F25" s="16" t="s">
        <v>81</v>
      </c>
      <c r="G25" s="15" t="s">
        <v>83</v>
      </c>
      <c r="H25" s="15" t="s">
        <v>83</v>
      </c>
      <c r="I25" s="15" t="s">
        <v>82</v>
      </c>
      <c r="J25" s="15" t="s">
        <v>81</v>
      </c>
      <c r="K25" s="15" t="s">
        <v>100</v>
      </c>
    </row>
    <row r="26" spans="1:11" ht="45" x14ac:dyDescent="0.25">
      <c r="A26" s="10">
        <v>25</v>
      </c>
      <c r="B26" s="10" t="s">
        <v>58</v>
      </c>
      <c r="C26" s="10" t="s">
        <v>68</v>
      </c>
      <c r="D26" s="10" t="s">
        <v>60</v>
      </c>
      <c r="E26" s="11" t="s">
        <v>69</v>
      </c>
      <c r="F26" s="16" t="s">
        <v>81</v>
      </c>
      <c r="G26" s="15" t="s">
        <v>83</v>
      </c>
      <c r="H26" s="15" t="s">
        <v>83</v>
      </c>
      <c r="I26" s="15" t="s">
        <v>82</v>
      </c>
      <c r="J26" s="15" t="s">
        <v>81</v>
      </c>
      <c r="K26" s="15" t="s">
        <v>100</v>
      </c>
    </row>
  </sheetData>
  <dataValidations count="1">
    <dataValidation type="list" allowBlank="1" sqref="F2:J26" xr:uid="{00000000-0002-0000-0000-000000000000}">
      <formula1>"Yes,No,Partial"</formula1>
    </dataValidation>
  </dataValidations>
  <hyperlinks>
    <hyperlink ref="E2" r:id="rId1" xr:uid="{00000000-0004-0000-0000-000000000000}"/>
    <hyperlink ref="E3" r:id="rId2" location="!/dataset/efas-historical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B17" sqref="B17"/>
    </sheetView>
  </sheetViews>
  <sheetFormatPr defaultRowHeight="15" x14ac:dyDescent="0.25"/>
  <cols>
    <col min="1" max="1" width="20" customWidth="1"/>
    <col min="5" max="5" width="15" customWidth="1"/>
  </cols>
  <sheetData>
    <row r="1" spans="1:5" ht="18.75" x14ac:dyDescent="0.3">
      <c r="A1" s="12" t="s">
        <v>70</v>
      </c>
    </row>
    <row r="3" spans="1:5" x14ac:dyDescent="0.25">
      <c r="A3" t="s">
        <v>71</v>
      </c>
    </row>
    <row r="4" spans="1:5" x14ac:dyDescent="0.25">
      <c r="A4" t="s">
        <v>72</v>
      </c>
    </row>
    <row r="5" spans="1:5" x14ac:dyDescent="0.25">
      <c r="A5" t="s">
        <v>73</v>
      </c>
    </row>
    <row r="6" spans="1:5" x14ac:dyDescent="0.25">
      <c r="A6" t="s">
        <v>74</v>
      </c>
    </row>
    <row r="7" spans="1:5" x14ac:dyDescent="0.25">
      <c r="A7" t="s">
        <v>75</v>
      </c>
    </row>
    <row r="9" spans="1:5" x14ac:dyDescent="0.25">
      <c r="A9" t="s">
        <v>76</v>
      </c>
    </row>
    <row r="11" spans="1:5" x14ac:dyDescent="0.25">
      <c r="A11" t="s">
        <v>77</v>
      </c>
    </row>
    <row r="12" spans="1:5" x14ac:dyDescent="0.25">
      <c r="A12" t="s">
        <v>78</v>
      </c>
    </row>
    <row r="14" spans="1:5" x14ac:dyDescent="0.25">
      <c r="A14" t="s">
        <v>79</v>
      </c>
    </row>
    <row r="15" spans="1:5" x14ac:dyDescent="0.25">
      <c r="A15" s="13"/>
    </row>
    <row r="16" spans="1:5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</row>
    <row r="17" spans="1:5" x14ac:dyDescent="0.25">
      <c r="A17" t="s">
        <v>85</v>
      </c>
      <c r="E17">
        <f>IF(SUM(B16:D16)&gt;0,(B16+0.5*D16)/SUM(B16:D16)*100,0)</f>
        <v>0</v>
      </c>
    </row>
    <row r="18" spans="1:5" x14ac:dyDescent="0.25">
      <c r="A18" t="s">
        <v>86</v>
      </c>
      <c r="E18">
        <f>IF(SUM(B17:D17)&gt;0,(B17+0.5*D17)/SUM(B17:D17)*100,0)</f>
        <v>0</v>
      </c>
    </row>
    <row r="19" spans="1:5" x14ac:dyDescent="0.25">
      <c r="A19" t="s">
        <v>87</v>
      </c>
      <c r="E19">
        <f>IF(SUM(B18:D18)&gt;0,(B18+0.5*D18)/SUM(B18:D18)*100,0)</f>
        <v>0</v>
      </c>
    </row>
    <row r="20" spans="1:5" x14ac:dyDescent="0.25">
      <c r="A20" t="s">
        <v>88</v>
      </c>
      <c r="E20">
        <f>IF(SUM(B19:D19)&gt;0,(B19+0.5*D19)/SUM(B19:D19)*100,0)</f>
        <v>0</v>
      </c>
    </row>
    <row r="21" spans="1:5" x14ac:dyDescent="0.25">
      <c r="A21" t="s">
        <v>89</v>
      </c>
      <c r="E21">
        <f>IF(SUM(B20:D20)&gt;0,(B20+0.5*D20)/SUM(B20:D20)*100,0)</f>
        <v>0</v>
      </c>
    </row>
    <row r="23" spans="1:5" x14ac:dyDescent="0.25">
      <c r="A23" t="s">
        <v>90</v>
      </c>
      <c r="E23">
        <f>AVERAGE(E16:E20)</f>
        <v>0</v>
      </c>
    </row>
    <row r="25" spans="1:5" x14ac:dyDescent="0.25">
      <c r="A25" t="s">
        <v>91</v>
      </c>
    </row>
    <row r="26" spans="1:5" x14ac:dyDescent="0.25">
      <c r="A26" t="s">
        <v>92</v>
      </c>
    </row>
    <row r="27" spans="1:5" x14ac:dyDescent="0.25">
      <c r="A27" t="s">
        <v>93</v>
      </c>
    </row>
    <row r="28" spans="1:5" x14ac:dyDescent="0.25">
      <c r="A28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 Checklist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Φερετζάκης Γεώργιος</cp:lastModifiedBy>
  <dcterms:created xsi:type="dcterms:W3CDTF">2026-01-28T13:26:08Z</dcterms:created>
  <dcterms:modified xsi:type="dcterms:W3CDTF">2026-02-15T17:40:06Z</dcterms:modified>
</cp:coreProperties>
</file>